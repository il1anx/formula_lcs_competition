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FB26_Controls\Control Algorithms\V1\CarSim Builds\"/>
    </mc:Choice>
  </mc:AlternateContent>
  <xr:revisionPtr revIDLastSave="0" documentId="13_ncr:1_{1C204AA0-B4D7-4844-862A-433801211100}" xr6:coauthVersionLast="47" xr6:coauthVersionMax="47" xr10:uidLastSave="{00000000-0000-0000-0000-000000000000}"/>
  <bookViews>
    <workbookView xWindow="28680" yWindow="-90" windowWidth="29040" windowHeight="15720" activeTab="1" xr2:uid="{369501CE-6CA8-45C0-AE74-A62BF0386ED2}"/>
  </bookViews>
  <sheets>
    <sheet name="Signals" sheetId="1" r:id="rId1"/>
    <sheet name="Variab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</calcChain>
</file>

<file path=xl/sharedStrings.xml><?xml version="1.0" encoding="utf-8"?>
<sst xmlns="http://schemas.openxmlformats.org/spreadsheetml/2006/main" count="191" uniqueCount="154">
  <si>
    <t>Signal</t>
  </si>
  <si>
    <t>Name in Simulink</t>
  </si>
  <si>
    <t>Units</t>
  </si>
  <si>
    <t>Notes</t>
  </si>
  <si>
    <t>Maximum Battery Temperature</t>
  </si>
  <si>
    <t>T_BAT_MAX</t>
  </si>
  <si>
    <t>C</t>
  </si>
  <si>
    <t>The maximum detected module temperature is sent to the program</t>
  </si>
  <si>
    <t>State of Charge</t>
  </si>
  <si>
    <t>SoC</t>
  </si>
  <si>
    <t>-</t>
  </si>
  <si>
    <t>A value from 0 to 1 describing the state of charge of the pack</t>
  </si>
  <si>
    <t>Derate Dial Position</t>
  </si>
  <si>
    <t>P_DD</t>
  </si>
  <si>
    <t>The driver selected option for the dynamic derate map</t>
  </si>
  <si>
    <t>Maximum Battery Power</t>
  </si>
  <si>
    <t>B_MAX</t>
  </si>
  <si>
    <t>The maximum allowed power to leave the pack for a given momenbt</t>
  </si>
  <si>
    <t>KW</t>
  </si>
  <si>
    <t>Front Master Cylinder Brake Pressure</t>
  </si>
  <si>
    <t>BRK_F</t>
  </si>
  <si>
    <t>Mpa</t>
  </si>
  <si>
    <t>Regen Brake Torque Command</t>
  </si>
  <si>
    <t>CMD_R</t>
  </si>
  <si>
    <t>Nm</t>
  </si>
  <si>
    <t>The regen torque commanded per wheel</t>
  </si>
  <si>
    <t>RL Torque Vectoring Torque Command</t>
  </si>
  <si>
    <t>RR Torque Vectoring Torque Command</t>
  </si>
  <si>
    <t>RL Traction Control Torque Command</t>
  </si>
  <si>
    <t>RR Traction Control Torque Command</t>
  </si>
  <si>
    <t>CMD_TV_RL</t>
  </si>
  <si>
    <t>CMD_TV_RR</t>
  </si>
  <si>
    <t>CMD_TC_RL</t>
  </si>
  <si>
    <t>CMD_TC_RR</t>
  </si>
  <si>
    <t>Variable</t>
  </si>
  <si>
    <t>Regenerative Braking Torque Gain</t>
  </si>
  <si>
    <t>REGEN_GAIN</t>
  </si>
  <si>
    <t>Nm/MPa</t>
  </si>
  <si>
    <t>A gain applied to the front master cylinder brake pressure to calculate the regen torque to apply from the rear motors</t>
  </si>
  <si>
    <t>Value</t>
  </si>
  <si>
    <t>Steering Wheel Angle</t>
  </si>
  <si>
    <t>delta_SW</t>
  </si>
  <si>
    <t>deg</t>
  </si>
  <si>
    <t>Steering Wheel Torque Vectoring Gain</t>
  </si>
  <si>
    <t>SW_TV_GAIN</t>
  </si>
  <si>
    <t>Nm/deg</t>
  </si>
  <si>
    <t>The torque vectoring torque difference across the rear axle applied as a result of a steering input</t>
  </si>
  <si>
    <t>Throttle Pedal Position</t>
  </si>
  <si>
    <t>P_T</t>
  </si>
  <si>
    <t>The amount the throttle has been depressed from 0 to 1</t>
  </si>
  <si>
    <t>Throttle Pedal Torque Command</t>
  </si>
  <si>
    <t>CMD_T</t>
  </si>
  <si>
    <t>The torque commanded by the throttle pedal</t>
  </si>
  <si>
    <t>Maximum Motor Torque</t>
  </si>
  <si>
    <t>Tmax</t>
  </si>
  <si>
    <t>The maximum availible motor output power</t>
  </si>
  <si>
    <t>Lateral Acceleration</t>
  </si>
  <si>
    <t>Ay</t>
  </si>
  <si>
    <t>G</t>
  </si>
  <si>
    <t>RL Wheel Speed</t>
  </si>
  <si>
    <t>RR Wheel Speed</t>
  </si>
  <si>
    <t>omega_RL</t>
  </si>
  <si>
    <t>omega_RR</t>
  </si>
  <si>
    <t>rpm</t>
  </si>
  <si>
    <t>Degrees to Radians Conversion</t>
  </si>
  <si>
    <t>deg_to_rad</t>
  </si>
  <si>
    <t>rad/deg</t>
  </si>
  <si>
    <t>RL Motor Torque Command</t>
  </si>
  <si>
    <t>RR Motor Torque Command</t>
  </si>
  <si>
    <t>CMD_RR</t>
  </si>
  <si>
    <t>CMD_RL</t>
  </si>
  <si>
    <t>Torque command sent to the RL motor</t>
  </si>
  <si>
    <t>Torque command sent to the RR motor</t>
  </si>
  <si>
    <t>omega_FL</t>
  </si>
  <si>
    <t>FL Wheel Speed</t>
  </si>
  <si>
    <t>FR Wheel Speed</t>
  </si>
  <si>
    <t>omega_FR</t>
  </si>
  <si>
    <t xml:space="preserve">Longitudinal Acceleration </t>
  </si>
  <si>
    <t>Ax</t>
  </si>
  <si>
    <t>RL Wheel Slip Ratio</t>
  </si>
  <si>
    <t>RR Wheel Slip Ratio</t>
  </si>
  <si>
    <t>kappa_RL</t>
  </si>
  <si>
    <t>kappa_RR</t>
  </si>
  <si>
    <t>Effective Tire Radius</t>
  </si>
  <si>
    <t>R_e</t>
  </si>
  <si>
    <t>m</t>
  </si>
  <si>
    <t>The radius of the tire from the wheel center to the contact patch</t>
  </si>
  <si>
    <t>Slip Ratio Threshold</t>
  </si>
  <si>
    <t>kappa_thresh</t>
  </si>
  <si>
    <t>The threshold at which the TC will begin to engage for slip ratio</t>
  </si>
  <si>
    <t>Traction Control Cut Gain</t>
  </si>
  <si>
    <t>TC_CUT</t>
  </si>
  <si>
    <t>RPM to Radians per Second Conversion</t>
  </si>
  <si>
    <t>rpm_to_radpers</t>
  </si>
  <si>
    <t>(rad/s)/rpm</t>
  </si>
  <si>
    <t>m/s to kph Conversion</t>
  </si>
  <si>
    <t>mpersec_to_kph</t>
  </si>
  <si>
    <t>m/s / kph</t>
  </si>
  <si>
    <t>Pack Enthalpy</t>
  </si>
  <si>
    <t>h_pack</t>
  </si>
  <si>
    <t>Busbar Enthalpy</t>
  </si>
  <si>
    <t>h_busbar</t>
  </si>
  <si>
    <t>J/kg</t>
  </si>
  <si>
    <t>Gravitational Constant</t>
  </si>
  <si>
    <t>g</t>
  </si>
  <si>
    <t>m/s^2</t>
  </si>
  <si>
    <t>Guestimate value</t>
  </si>
  <si>
    <t>Battery Cell Mass</t>
  </si>
  <si>
    <t>cell_mass</t>
  </si>
  <si>
    <t>kg</t>
  </si>
  <si>
    <t>Battery Cell Heat Capacity</t>
  </si>
  <si>
    <t>cell_cp</t>
  </si>
  <si>
    <t>J/kg*k</t>
  </si>
  <si>
    <t>Off of the internet</t>
  </si>
  <si>
    <t>Busbar Thermal Contact Resistance</t>
  </si>
  <si>
    <t>busbar_thermalcontact_resistance</t>
  </si>
  <si>
    <t>ohms</t>
  </si>
  <si>
    <t>The resistance between the busbar and the contacts on the module</t>
  </si>
  <si>
    <t>Busbar Resistivity</t>
  </si>
  <si>
    <t>busbar_resistivity</t>
  </si>
  <si>
    <t>ohm meters</t>
  </si>
  <si>
    <t>Busbar Mass</t>
  </si>
  <si>
    <t>busbar_mass</t>
  </si>
  <si>
    <t>Busbar Length</t>
  </si>
  <si>
    <t>busbar_length</t>
  </si>
  <si>
    <t>Busbar Heat Capacity</t>
  </si>
  <si>
    <t>busbar_Cp</t>
  </si>
  <si>
    <t>Aluminums heat capacity from the internet</t>
  </si>
  <si>
    <t>Busbar Cross Sectional Area</t>
  </si>
  <si>
    <t>busbar_CC_area</t>
  </si>
  <si>
    <t>m^2</t>
  </si>
  <si>
    <t>Ambient Air Temperature</t>
  </si>
  <si>
    <t>T_amb</t>
  </si>
  <si>
    <t xml:space="preserve">k </t>
  </si>
  <si>
    <t>24 degrees C</t>
  </si>
  <si>
    <t xml:space="preserve">100 minus the percent of power the traction control cuts by </t>
  </si>
  <si>
    <t>SoC_initial</t>
  </si>
  <si>
    <t>Initial State of Charge</t>
  </si>
  <si>
    <t>Cells in Series</t>
  </si>
  <si>
    <t>S</t>
  </si>
  <si>
    <t>The number of cells in series inside of the battery pack</t>
  </si>
  <si>
    <t>Maximum Current</t>
  </si>
  <si>
    <t>I_max</t>
  </si>
  <si>
    <t>A</t>
  </si>
  <si>
    <t>Gear Ratio</t>
  </si>
  <si>
    <t>GR</t>
  </si>
  <si>
    <t>Nominal Cell Capacity</t>
  </si>
  <si>
    <t>C_nominal</t>
  </si>
  <si>
    <t>Ah</t>
  </si>
  <si>
    <t>A_pack</t>
  </si>
  <si>
    <t>Battery Pack Surface Area</t>
  </si>
  <si>
    <t>The  surface area of the outside of the pack casing</t>
  </si>
  <si>
    <t>Busbar Surface Area</t>
  </si>
  <si>
    <t>A_busbar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</si>
</sst>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C4BDE-4690-4971-B306-A3FB87DFB891}">
  <dimension ref="A1:D26"/>
  <sheetViews>
    <sheetView workbookViewId="0">
      <selection activeCell="A25" sqref="A25"/>
    </sheetView>
  </sheetViews>
  <sheetFormatPr defaultRowHeight="15" x14ac:dyDescent="0.25"/>
  <cols>
    <col min="1" max="1" width="35.5703125" bestFit="1" customWidth="1"/>
    <col min="2" max="2" width="16.7109375" bestFit="1" customWidth="1"/>
    <col min="3" max="3" width="6.5703125" bestFit="1" customWidth="1"/>
    <col min="4" max="4" width="60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10</v>
      </c>
      <c r="D4" t="s">
        <v>14</v>
      </c>
    </row>
    <row r="5" spans="1:4" x14ac:dyDescent="0.25">
      <c r="A5" t="s">
        <v>15</v>
      </c>
      <c r="B5" t="s">
        <v>16</v>
      </c>
      <c r="C5" t="s">
        <v>18</v>
      </c>
      <c r="D5" t="s">
        <v>17</v>
      </c>
    </row>
    <row r="6" spans="1:4" x14ac:dyDescent="0.25">
      <c r="A6" t="s">
        <v>19</v>
      </c>
      <c r="B6" t="s">
        <v>20</v>
      </c>
      <c r="C6" t="s">
        <v>21</v>
      </c>
    </row>
    <row r="7" spans="1:4" x14ac:dyDescent="0.25">
      <c r="A7" t="s">
        <v>22</v>
      </c>
      <c r="B7" t="s">
        <v>23</v>
      </c>
      <c r="C7" t="s">
        <v>24</v>
      </c>
      <c r="D7" t="s">
        <v>25</v>
      </c>
    </row>
    <row r="8" spans="1:4" x14ac:dyDescent="0.25">
      <c r="A8" t="s">
        <v>26</v>
      </c>
      <c r="B8" t="s">
        <v>30</v>
      </c>
      <c r="C8" t="s">
        <v>24</v>
      </c>
    </row>
    <row r="9" spans="1:4" x14ac:dyDescent="0.25">
      <c r="A9" t="s">
        <v>27</v>
      </c>
      <c r="B9" t="s">
        <v>31</v>
      </c>
      <c r="C9" t="s">
        <v>24</v>
      </c>
    </row>
    <row r="10" spans="1:4" x14ac:dyDescent="0.25">
      <c r="A10" t="s">
        <v>28</v>
      </c>
      <c r="B10" t="s">
        <v>32</v>
      </c>
      <c r="C10" t="s">
        <v>24</v>
      </c>
    </row>
    <row r="11" spans="1:4" x14ac:dyDescent="0.25">
      <c r="A11" t="s">
        <v>29</v>
      </c>
      <c r="B11" t="s">
        <v>33</v>
      </c>
      <c r="C11" t="s">
        <v>24</v>
      </c>
    </row>
    <row r="12" spans="1:4" x14ac:dyDescent="0.25">
      <c r="A12" t="s">
        <v>40</v>
      </c>
      <c r="B12" t="s">
        <v>41</v>
      </c>
      <c r="C12" t="s">
        <v>42</v>
      </c>
    </row>
    <row r="13" spans="1:4" x14ac:dyDescent="0.25">
      <c r="A13" t="s">
        <v>47</v>
      </c>
      <c r="B13" t="s">
        <v>48</v>
      </c>
      <c r="C13" t="s">
        <v>10</v>
      </c>
      <c r="D13" t="s">
        <v>49</v>
      </c>
    </row>
    <row r="14" spans="1:4" x14ac:dyDescent="0.25">
      <c r="A14" t="s">
        <v>50</v>
      </c>
      <c r="B14" t="s">
        <v>51</v>
      </c>
      <c r="C14" t="s">
        <v>24</v>
      </c>
      <c r="D14" t="s">
        <v>52</v>
      </c>
    </row>
    <row r="15" spans="1:4" x14ac:dyDescent="0.25">
      <c r="A15" t="s">
        <v>56</v>
      </c>
      <c r="B15" t="s">
        <v>57</v>
      </c>
      <c r="C15" t="s">
        <v>58</v>
      </c>
    </row>
    <row r="16" spans="1:4" x14ac:dyDescent="0.25">
      <c r="A16" t="s">
        <v>59</v>
      </c>
      <c r="B16" t="s">
        <v>61</v>
      </c>
      <c r="C16" t="s">
        <v>63</v>
      </c>
    </row>
    <row r="17" spans="1:4" x14ac:dyDescent="0.25">
      <c r="A17" t="s">
        <v>60</v>
      </c>
      <c r="B17" t="s">
        <v>62</v>
      </c>
      <c r="C17" t="s">
        <v>63</v>
      </c>
    </row>
    <row r="18" spans="1:4" x14ac:dyDescent="0.25">
      <c r="A18" t="s">
        <v>67</v>
      </c>
      <c r="B18" t="s">
        <v>70</v>
      </c>
      <c r="C18" t="s">
        <v>24</v>
      </c>
      <c r="D18" t="s">
        <v>71</v>
      </c>
    </row>
    <row r="19" spans="1:4" x14ac:dyDescent="0.25">
      <c r="A19" t="s">
        <v>68</v>
      </c>
      <c r="B19" t="s">
        <v>69</v>
      </c>
      <c r="C19" t="s">
        <v>24</v>
      </c>
      <c r="D19" t="s">
        <v>72</v>
      </c>
    </row>
    <row r="20" spans="1:4" x14ac:dyDescent="0.25">
      <c r="A20" t="s">
        <v>74</v>
      </c>
      <c r="B20" t="s">
        <v>73</v>
      </c>
      <c r="C20" t="s">
        <v>63</v>
      </c>
    </row>
    <row r="21" spans="1:4" x14ac:dyDescent="0.25">
      <c r="A21" t="s">
        <v>75</v>
      </c>
      <c r="B21" t="s">
        <v>76</v>
      </c>
      <c r="C21" t="s">
        <v>63</v>
      </c>
    </row>
    <row r="22" spans="1:4" x14ac:dyDescent="0.25">
      <c r="A22" t="s">
        <v>59</v>
      </c>
      <c r="B22" t="s">
        <v>61</v>
      </c>
      <c r="C22" t="s">
        <v>63</v>
      </c>
    </row>
    <row r="23" spans="1:4" x14ac:dyDescent="0.25">
      <c r="A23" t="s">
        <v>60</v>
      </c>
      <c r="B23" t="s">
        <v>62</v>
      </c>
      <c r="C23" t="s">
        <v>63</v>
      </c>
    </row>
    <row r="24" spans="1:4" x14ac:dyDescent="0.25">
      <c r="A24" t="s">
        <v>77</v>
      </c>
      <c r="B24" t="s">
        <v>78</v>
      </c>
      <c r="C24" t="s">
        <v>58</v>
      </c>
    </row>
    <row r="25" spans="1:4" x14ac:dyDescent="0.25">
      <c r="A25" t="s">
        <v>79</v>
      </c>
      <c r="B25" t="s">
        <v>81</v>
      </c>
      <c r="C25" t="s">
        <v>10</v>
      </c>
    </row>
    <row r="26" spans="1:4" x14ac:dyDescent="0.25">
      <c r="A26" t="s">
        <v>80</v>
      </c>
      <c r="B26" t="s">
        <v>82</v>
      </c>
      <c r="C26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0D3DF-DFC2-4EE4-8BC8-226388D2D6FF}">
  <dimension ref="A1:E29"/>
  <sheetViews>
    <sheetView tabSelected="1" workbookViewId="0">
      <selection activeCell="B24" sqref="B24"/>
    </sheetView>
  </sheetViews>
  <sheetFormatPr defaultRowHeight="15" x14ac:dyDescent="0.25"/>
  <cols>
    <col min="1" max="1" width="36" bestFit="1" customWidth="1"/>
    <col min="2" max="2" width="22.7109375" bestFit="1" customWidth="1"/>
    <col min="3" max="3" width="8.7109375" bestFit="1" customWidth="1"/>
    <col min="4" max="4" width="11.42578125" bestFit="1" customWidth="1"/>
    <col min="5" max="5" width="105.42578125" bestFit="1" customWidth="1"/>
  </cols>
  <sheetData>
    <row r="1" spans="1:5" x14ac:dyDescent="0.25">
      <c r="A1" s="1" t="s">
        <v>34</v>
      </c>
      <c r="B1" s="1" t="s">
        <v>1</v>
      </c>
      <c r="C1" s="1" t="s">
        <v>39</v>
      </c>
      <c r="D1" s="1" t="s">
        <v>2</v>
      </c>
      <c r="E1" s="1" t="s">
        <v>3</v>
      </c>
    </row>
    <row r="2" spans="1:5" x14ac:dyDescent="0.25">
      <c r="A2" t="s">
        <v>35</v>
      </c>
      <c r="B2" t="s">
        <v>36</v>
      </c>
      <c r="C2">
        <v>1</v>
      </c>
      <c r="D2" t="s">
        <v>37</v>
      </c>
      <c r="E2" t="s">
        <v>38</v>
      </c>
    </row>
    <row r="3" spans="1:5" x14ac:dyDescent="0.25">
      <c r="A3" t="s">
        <v>43</v>
      </c>
      <c r="B3" t="s">
        <v>44</v>
      </c>
      <c r="C3">
        <f>1/9</f>
        <v>0.1111111111111111</v>
      </c>
      <c r="D3" t="s">
        <v>45</v>
      </c>
      <c r="E3" t="s">
        <v>46</v>
      </c>
    </row>
    <row r="4" spans="1:5" x14ac:dyDescent="0.25">
      <c r="A4" t="s">
        <v>53</v>
      </c>
      <c r="B4" t="s">
        <v>54</v>
      </c>
      <c r="C4">
        <v>21</v>
      </c>
      <c r="D4" t="s">
        <v>24</v>
      </c>
      <c r="E4" t="s">
        <v>55</v>
      </c>
    </row>
    <row r="5" spans="1:5" x14ac:dyDescent="0.25">
      <c r="A5" t="s">
        <v>64</v>
      </c>
      <c r="B5" t="s">
        <v>65</v>
      </c>
      <c r="C5">
        <v>1.7453300000000001E-2</v>
      </c>
      <c r="D5" t="s">
        <v>66</v>
      </c>
    </row>
    <row r="6" spans="1:5" x14ac:dyDescent="0.25">
      <c r="A6" t="s">
        <v>83</v>
      </c>
      <c r="B6" t="s">
        <v>84</v>
      </c>
      <c r="C6">
        <v>0.19700000000000001</v>
      </c>
      <c r="D6" t="s">
        <v>85</v>
      </c>
      <c r="E6" t="s">
        <v>86</v>
      </c>
    </row>
    <row r="7" spans="1:5" x14ac:dyDescent="0.25">
      <c r="A7" t="s">
        <v>87</v>
      </c>
      <c r="B7" t="s">
        <v>88</v>
      </c>
      <c r="C7">
        <v>0.12</v>
      </c>
      <c r="D7" t="s">
        <v>10</v>
      </c>
      <c r="E7" t="s">
        <v>89</v>
      </c>
    </row>
    <row r="8" spans="1:5" x14ac:dyDescent="0.25">
      <c r="A8" t="s">
        <v>90</v>
      </c>
      <c r="B8" t="s">
        <v>91</v>
      </c>
      <c r="C8">
        <v>0.5</v>
      </c>
      <c r="D8" t="s">
        <v>10</v>
      </c>
      <c r="E8" t="s">
        <v>135</v>
      </c>
    </row>
    <row r="9" spans="1:5" x14ac:dyDescent="0.25">
      <c r="A9" t="s">
        <v>92</v>
      </c>
      <c r="B9" t="s">
        <v>93</v>
      </c>
      <c r="C9">
        <v>0.10471999999999999</v>
      </c>
      <c r="D9" t="s">
        <v>94</v>
      </c>
    </row>
    <row r="10" spans="1:5" x14ac:dyDescent="0.25">
      <c r="A10" t="s">
        <v>95</v>
      </c>
      <c r="B10" t="s">
        <v>96</v>
      </c>
      <c r="C10">
        <v>3.6</v>
      </c>
      <c r="D10" t="s">
        <v>97</v>
      </c>
    </row>
    <row r="11" spans="1:5" x14ac:dyDescent="0.25">
      <c r="A11" t="s">
        <v>98</v>
      </c>
      <c r="B11" t="s">
        <v>99</v>
      </c>
      <c r="C11">
        <v>5</v>
      </c>
      <c r="D11" t="s">
        <v>102</v>
      </c>
      <c r="E11" t="s">
        <v>106</v>
      </c>
    </row>
    <row r="12" spans="1:5" x14ac:dyDescent="0.25">
      <c r="A12" t="s">
        <v>100</v>
      </c>
      <c r="B12" t="s">
        <v>101</v>
      </c>
      <c r="C12">
        <v>5</v>
      </c>
      <c r="D12" t="s">
        <v>102</v>
      </c>
      <c r="E12" t="s">
        <v>106</v>
      </c>
    </row>
    <row r="13" spans="1:5" x14ac:dyDescent="0.25">
      <c r="A13" t="s">
        <v>103</v>
      </c>
      <c r="B13" t="s">
        <v>104</v>
      </c>
      <c r="C13">
        <v>9.8000000000000007</v>
      </c>
      <c r="D13" t="s">
        <v>105</v>
      </c>
    </row>
    <row r="14" spans="1:5" x14ac:dyDescent="0.25">
      <c r="A14" t="s">
        <v>107</v>
      </c>
      <c r="B14" t="s">
        <v>108</v>
      </c>
      <c r="C14">
        <v>4.5999999999999999E-2</v>
      </c>
      <c r="D14" t="s">
        <v>109</v>
      </c>
    </row>
    <row r="15" spans="1:5" x14ac:dyDescent="0.25">
      <c r="A15" t="s">
        <v>110</v>
      </c>
      <c r="B15" t="s">
        <v>111</v>
      </c>
      <c r="C15">
        <v>1000</v>
      </c>
      <c r="D15" t="s">
        <v>112</v>
      </c>
      <c r="E15" t="s">
        <v>113</v>
      </c>
    </row>
    <row r="16" spans="1:5" x14ac:dyDescent="0.25">
      <c r="A16" t="s">
        <v>114</v>
      </c>
      <c r="B16" t="s">
        <v>115</v>
      </c>
      <c r="C16" s="2">
        <v>1.6800000000000002E-8</v>
      </c>
      <c r="D16" t="s">
        <v>116</v>
      </c>
      <c r="E16" t="s">
        <v>117</v>
      </c>
    </row>
    <row r="17" spans="1:5" x14ac:dyDescent="0.25">
      <c r="A17" t="s">
        <v>118</v>
      </c>
      <c r="B17" t="s">
        <v>119</v>
      </c>
      <c r="C17" s="2">
        <v>1.6800000000000002E-8</v>
      </c>
      <c r="D17" t="s">
        <v>120</v>
      </c>
    </row>
    <row r="18" spans="1:5" x14ac:dyDescent="0.25">
      <c r="A18" t="s">
        <v>121</v>
      </c>
      <c r="B18" t="s">
        <v>122</v>
      </c>
      <c r="C18">
        <v>0.01</v>
      </c>
      <c r="D18" t="s">
        <v>109</v>
      </c>
    </row>
    <row r="19" spans="1:5" x14ac:dyDescent="0.25">
      <c r="A19" t="s">
        <v>123</v>
      </c>
      <c r="B19" t="s">
        <v>124</v>
      </c>
      <c r="C19">
        <v>3.2000000000000001E-2</v>
      </c>
      <c r="D19" t="s">
        <v>85</v>
      </c>
    </row>
    <row r="20" spans="1:5" x14ac:dyDescent="0.25">
      <c r="A20" t="s">
        <v>125</v>
      </c>
      <c r="B20" t="s">
        <v>126</v>
      </c>
      <c r="C20">
        <v>237</v>
      </c>
      <c r="D20" t="s">
        <v>112</v>
      </c>
      <c r="E20" t="s">
        <v>127</v>
      </c>
    </row>
    <row r="21" spans="1:5" x14ac:dyDescent="0.25">
      <c r="A21" t="s">
        <v>128</v>
      </c>
      <c r="B21" t="s">
        <v>129</v>
      </c>
      <c r="C21">
        <v>1.08E-4</v>
      </c>
      <c r="D21" t="s">
        <v>130</v>
      </c>
    </row>
    <row r="22" spans="1:5" x14ac:dyDescent="0.25">
      <c r="A22" t="s">
        <v>131</v>
      </c>
      <c r="B22" t="s">
        <v>132</v>
      </c>
      <c r="C22">
        <v>297.14999999999998</v>
      </c>
      <c r="D22" t="s">
        <v>133</v>
      </c>
      <c r="E22" t="s">
        <v>134</v>
      </c>
    </row>
    <row r="23" spans="1:5" x14ac:dyDescent="0.25">
      <c r="A23" t="s">
        <v>137</v>
      </c>
      <c r="B23" t="s">
        <v>136</v>
      </c>
      <c r="C23">
        <v>1</v>
      </c>
      <c r="D23" t="s">
        <v>10</v>
      </c>
    </row>
    <row r="24" spans="1:5" x14ac:dyDescent="0.25">
      <c r="A24" t="s">
        <v>138</v>
      </c>
      <c r="B24" t="s">
        <v>139</v>
      </c>
      <c r="C24">
        <v>138</v>
      </c>
      <c r="D24" t="s">
        <v>10</v>
      </c>
      <c r="E24" t="s">
        <v>140</v>
      </c>
    </row>
    <row r="25" spans="1:5" x14ac:dyDescent="0.25">
      <c r="A25" t="s">
        <v>141</v>
      </c>
      <c r="B25" t="s">
        <v>142</v>
      </c>
      <c r="C25">
        <v>157.69999999999999</v>
      </c>
      <c r="D25" t="s">
        <v>143</v>
      </c>
    </row>
    <row r="26" spans="1:5" x14ac:dyDescent="0.25">
      <c r="A26" t="s">
        <v>144</v>
      </c>
      <c r="B26" t="s">
        <v>145</v>
      </c>
      <c r="C26">
        <v>14.14</v>
      </c>
      <c r="D26" t="s">
        <v>10</v>
      </c>
    </row>
    <row r="27" spans="1:5" x14ac:dyDescent="0.25">
      <c r="A27" t="s">
        <v>146</v>
      </c>
      <c r="B27" t="s">
        <v>147</v>
      </c>
      <c r="C27">
        <v>3</v>
      </c>
      <c r="D27" t="s">
        <v>148</v>
      </c>
    </row>
    <row r="28" spans="1:5" x14ac:dyDescent="0.25">
      <c r="A28" t="s">
        <v>150</v>
      </c>
      <c r="B28" t="s">
        <v>149</v>
      </c>
      <c r="C28">
        <v>0.71162624799999996</v>
      </c>
      <c r="D28" t="s">
        <v>130</v>
      </c>
      <c r="E28" t="s">
        <v>151</v>
      </c>
    </row>
    <row r="29" spans="1:5" x14ac:dyDescent="0.25">
      <c r="A29" t="s">
        <v>152</v>
      </c>
      <c r="B29" t="s">
        <v>153</v>
      </c>
      <c r="C29">
        <v>1.5E-3</v>
      </c>
      <c r="D29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Signals</vt:lpstr>
      <vt:lpstr>Variables</vt:lpstr>
    </vt:vector>
  </TitlesOfParts>
  <Company>The Ohio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Kara, Mehmet</dc:creator>
  <cp:lastModifiedBy>Kara, Mehmet</cp:lastModifiedBy>
  <dcterms:created xsi:type="dcterms:W3CDTF">2025-10-07T00:22:50Z</dcterms:created>
  <dcterms:modified xsi:type="dcterms:W3CDTF">2025-10-28T01:56:10Z</dcterms:modified>
</cp:coreProperties>
</file>